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10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inciensa-my.sharepoint.com/personal/agodinez_inciensa_sa_cr/Documents/Documents/Plantillas hojas trabajo illumina/"/>
    </mc:Choice>
  </mc:AlternateContent>
  <xr:revisionPtr revIDLastSave="0" documentId="8_{2A559DF1-2F5F-4300-80AB-DFD245D604BA}" xr6:coauthVersionLast="47" xr6:coauthVersionMax="47" xr10:uidLastSave="{00000000-0000-0000-0000-000000000000}"/>
  <bookViews>
    <workbookView xWindow="-120" yWindow="-120" windowWidth="29040" windowHeight="15720" xr2:uid="{0FFD4318-E8CF-4D91-8A51-B69A3F54D18A}"/>
  </bookViews>
  <sheets>
    <sheet name="DNA Prep" sheetId="1" r:id="rId1"/>
  </sheets>
  <definedNames>
    <definedName name="_xlnm.Print_Titles" localSheetId="0">'DNA Prep'!$1:$4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90" i="1" l="1"/>
  <c r="J89" i="1"/>
  <c r="J73" i="1"/>
  <c r="J72" i="1"/>
  <c r="J47" i="1"/>
  <c r="J46" i="1"/>
  <c r="J14" i="1"/>
  <c r="J13" i="1"/>
</calcChain>
</file>

<file path=xl/sharedStrings.xml><?xml version="1.0" encoding="utf-8"?>
<sst xmlns="http://schemas.openxmlformats.org/spreadsheetml/2006/main" count="101" uniqueCount="80">
  <si>
    <t>Lista de chequeo para la preparación de bibliotecas de secuenciación
CNRIMA-R62</t>
  </si>
  <si>
    <t>Versión 1</t>
  </si>
  <si>
    <t>Consecutivo:</t>
  </si>
  <si>
    <t>Tagmentación</t>
  </si>
  <si>
    <t>Determine la pureza del ADN obteniendo la relación 260 / 280 en el espectrofotómetro y registre el dato en la hoja de trabajo correspondiente</t>
  </si>
  <si>
    <t>Cuantifique el ADN en el fluorómetro y registre el dato en la hoja de trabajo correspondiente</t>
  </si>
  <si>
    <t>Atempere los reactivos BLT (refrigeración) y TB1 (congelación) a temperatura ambiente al menos 30 minutos</t>
  </si>
  <si>
    <t>Mezcle las BLT con el vórtex durante 10 segundos (asegúrese que esten bien resuspendidas)</t>
  </si>
  <si>
    <r>
      <t xml:space="preserve">Prepare el mix de tagmentación (por reacción: 10 </t>
    </r>
    <r>
      <rPr>
        <sz val="8"/>
        <color theme="1"/>
        <rFont val="Calibri"/>
        <family val="2"/>
      </rPr>
      <t>µ</t>
    </r>
    <r>
      <rPr>
        <sz val="8"/>
        <color theme="1"/>
        <rFont val="Arial"/>
        <family val="2"/>
      </rPr>
      <t>l BLT + 10 µl TB1):</t>
    </r>
  </si>
  <si>
    <r>
      <t>Volumen (</t>
    </r>
    <r>
      <rPr>
        <b/>
        <sz val="8"/>
        <color theme="1"/>
        <rFont val="Calibri"/>
        <family val="2"/>
      </rPr>
      <t>µ</t>
    </r>
    <r>
      <rPr>
        <b/>
        <sz val="8"/>
        <color theme="1"/>
        <rFont val="Arial"/>
        <family val="2"/>
      </rPr>
      <t>l)</t>
    </r>
  </si>
  <si>
    <t># Muestras (más 2)</t>
  </si>
  <si>
    <t>Volumen de BLT</t>
  </si>
  <si>
    <t>Volumen de TB1</t>
  </si>
  <si>
    <r>
      <t>Agregue H</t>
    </r>
    <r>
      <rPr>
        <vertAlign val="subscript"/>
        <sz val="8"/>
        <color theme="1"/>
        <rFont val="Arial"/>
        <family val="2"/>
      </rPr>
      <t>2</t>
    </r>
    <r>
      <rPr>
        <sz val="8"/>
        <color theme="1"/>
        <rFont val="Arial"/>
        <family val="2"/>
      </rPr>
      <t>O a las tiras de PCR (lo indica la columna I de la hoja de trabajo PNL35.W1 Illumina DNA Prep Workbook, generalmente 20 µl)</t>
    </r>
  </si>
  <si>
    <t>Agregue el ADN a cada pocillo (lo indica la columna H de la hoja de trabajo PNL35.W1 Illumina DNA Prep Workbook, generalmente 10 µl)</t>
  </si>
  <si>
    <t>Mezcle bien el mix de tagmentación (procure mezclarlo luego de agregarlo a 4 muetras consecutivas)</t>
  </si>
  <si>
    <r>
      <t xml:space="preserve">Agregue 20 </t>
    </r>
    <r>
      <rPr>
        <sz val="8"/>
        <color theme="1"/>
        <rFont val="Calibri"/>
        <family val="2"/>
      </rPr>
      <t>µ</t>
    </r>
    <r>
      <rPr>
        <sz val="8"/>
        <color theme="1"/>
        <rFont val="Arial"/>
        <family val="2"/>
      </rPr>
      <t>l del mix de tagmentación a cada pocillo</t>
    </r>
  </si>
  <si>
    <r>
      <t xml:space="preserve">Mezcle por pipeteo suavemente mínimo 10 veces (volumen total 50 </t>
    </r>
    <r>
      <rPr>
        <sz val="8"/>
        <color theme="1"/>
        <rFont val="Calibri"/>
        <family val="2"/>
      </rPr>
      <t>µl)</t>
    </r>
  </si>
  <si>
    <t xml:space="preserve">Tape los tubos </t>
  </si>
  <si>
    <r>
      <t xml:space="preserve">Incube en el termociclador utilizando el programa "DNA Prep 1" (55 °C por 15 minutos, luego 10 °C </t>
    </r>
    <r>
      <rPr>
        <sz val="8"/>
        <color theme="1"/>
        <rFont val="Calibri"/>
        <family val="2"/>
      </rPr>
      <t>∞</t>
    </r>
    <r>
      <rPr>
        <sz val="8"/>
        <color theme="1"/>
        <rFont val="Arial"/>
        <family val="2"/>
      </rPr>
      <t>)</t>
    </r>
  </si>
  <si>
    <t>Limpieza post tagmentación</t>
  </si>
  <si>
    <t>Revise la presencia de precipitados en el TSB (si hay precipitados, caliente al reactivo a 37°C por 10 minutos y mezcle)</t>
  </si>
  <si>
    <t>Agregue 10 µl de TSB a cada pocillo de muestra (prepare una tira de PCR con reactivo suficiente y dispense con multicanal)</t>
  </si>
  <si>
    <t>Mezcle por pipeteo suavemente mínimo 10 veces (volumen total 60 µl)</t>
  </si>
  <si>
    <t>Incube en el termociclador utilizando el programa "DNA Prep 2" (37 °C por 15 minutos y 10 °C ∞)</t>
  </si>
  <si>
    <t>Coloque en el magneto por 3 minutos (o hasta que esté claro)</t>
  </si>
  <si>
    <t>Utilice una pipeta multicanal para remover y descartar el sobrenadante</t>
  </si>
  <si>
    <t>Retire del magneto, agregue 100 µl de TWB y resuspenda completamente pipeteando suavemente (evite la formación de burbujas)</t>
  </si>
  <si>
    <t>Coloque otra vez en el magneto durante 3 minutos (o hasta que esté claro)</t>
  </si>
  <si>
    <t>Amplificación del ADN tagmentado</t>
  </si>
  <si>
    <t>Descongele el EPM en frío</t>
  </si>
  <si>
    <t>Descongele los índices a temperatura ambiente y luego centrifugue por 1 minuto (utilice la centrifuga de placas exclusiva para índices)</t>
  </si>
  <si>
    <r>
      <t xml:space="preserve">Prepare el master mix de PCR (por reacción: 20 </t>
    </r>
    <r>
      <rPr>
        <sz val="8"/>
        <color theme="1"/>
        <rFont val="Calibri"/>
        <family val="2"/>
      </rPr>
      <t>µ</t>
    </r>
    <r>
      <rPr>
        <sz val="8"/>
        <color theme="1"/>
        <rFont val="Arial"/>
        <family val="2"/>
      </rPr>
      <t>l EPM + 20 µl H</t>
    </r>
    <r>
      <rPr>
        <vertAlign val="subscript"/>
        <sz val="8"/>
        <color theme="1"/>
        <rFont val="Arial"/>
        <family val="2"/>
      </rPr>
      <t>2</t>
    </r>
    <r>
      <rPr>
        <sz val="8"/>
        <color theme="1"/>
        <rFont val="Arial"/>
        <family val="2"/>
      </rPr>
      <t>O):</t>
    </r>
  </si>
  <si>
    <t>Volumen de EPM</t>
  </si>
  <si>
    <r>
      <t>Volumen de H</t>
    </r>
    <r>
      <rPr>
        <b/>
        <vertAlign val="subscript"/>
        <sz val="8"/>
        <color theme="1"/>
        <rFont val="Arial"/>
        <family val="2"/>
      </rPr>
      <t>2</t>
    </r>
    <r>
      <rPr>
        <b/>
        <sz val="8"/>
        <color theme="1"/>
        <rFont val="Arial"/>
        <family val="2"/>
      </rPr>
      <t>O</t>
    </r>
  </si>
  <si>
    <t>Mezcle con vórtex y centrifugue brevemente</t>
  </si>
  <si>
    <t>Remueva el TWB de las muestras con una pipeta multicanal (deben estar todavía en el magneto)</t>
  </si>
  <si>
    <t>Remueva el exceso de TWB con una pipeta monocanal de 10 µl</t>
  </si>
  <si>
    <t>Retire del magneto y agregue inmediatamente 40 µl del master mix de PCR (dispense el mix en tira(s) de PCR para agregarlo con multicanal)</t>
  </si>
  <si>
    <t>Mezcle por pipeteo suavemente hasta resuspenderlo totalmente</t>
  </si>
  <si>
    <t>Agregue 10 µl de los índices respectivos para cada muestra</t>
  </si>
  <si>
    <t>Mezcle por pipeteo un mínimo de 10 veces (ajuste la pipeta en 40 µl)</t>
  </si>
  <si>
    <t>Tape los tubos y colóquelos en el termociclador. Utilice el programa "DNA Prep 3"</t>
  </si>
  <si>
    <t>Retire las muestras del termociclador</t>
  </si>
  <si>
    <t>Continue con la limpieza de las librerías</t>
  </si>
  <si>
    <t>*En caso de no poder continuar con la limpieza, las librerías pueden almacenarse de (2-8) °C hasta por 3 días</t>
  </si>
  <si>
    <t>Limpieza de bibliotecas</t>
  </si>
  <si>
    <t>Atempere las perlas IPB (refrigeración) a temperatura ambiente al menos 30 minutos</t>
  </si>
  <si>
    <t>Atempere el buffer de resuspension RSB (congelación) a temperatura ambiente</t>
  </si>
  <si>
    <t>Centrifuge las tiras de PCR por 1 minuto (utilice la centrifuga de placas destinada para muestras)</t>
  </si>
  <si>
    <t>Coloque las tiras en el magneto por 5 minutos o hasta que el sobrenadante este claro</t>
  </si>
  <si>
    <t>Transfiera (con pipeta monocanal) 45 µl del sobrenadante a tiras de PCR nuevas</t>
  </si>
  <si>
    <t>Mezcle las perlas IPB con el vórtex hasta que estén bien resuspendidas</t>
  </si>
  <si>
    <r>
      <t xml:space="preserve">Prepare la dilución de perlas IPB (por reacción: 40,8 </t>
    </r>
    <r>
      <rPr>
        <sz val="8"/>
        <color theme="1"/>
        <rFont val="Calibri"/>
        <family val="2"/>
      </rPr>
      <t>µ</t>
    </r>
    <r>
      <rPr>
        <sz val="8"/>
        <color theme="1"/>
        <rFont val="Arial"/>
        <family val="2"/>
      </rPr>
      <t>l IPB + 44,2 µl H</t>
    </r>
    <r>
      <rPr>
        <vertAlign val="subscript"/>
        <sz val="8"/>
        <color theme="1"/>
        <rFont val="Arial"/>
        <family val="2"/>
      </rPr>
      <t>2</t>
    </r>
    <r>
      <rPr>
        <sz val="8"/>
        <color theme="1"/>
        <rFont val="Arial"/>
        <family val="2"/>
      </rPr>
      <t>O):</t>
    </r>
  </si>
  <si>
    <t># Muestras (más 3)</t>
  </si>
  <si>
    <t>Volumen de IPB</t>
  </si>
  <si>
    <t>Mezcle bien la dilución de IPB (procure mezclarlo luego de agregarlo a 4 muetras consecutivas)</t>
  </si>
  <si>
    <r>
      <t xml:space="preserve">Agregue 85 </t>
    </r>
    <r>
      <rPr>
        <sz val="8"/>
        <color theme="1"/>
        <rFont val="Calibri"/>
        <family val="2"/>
      </rPr>
      <t>µ</t>
    </r>
    <r>
      <rPr>
        <sz val="8"/>
        <color theme="1"/>
        <rFont val="Arial"/>
        <family val="2"/>
      </rPr>
      <t xml:space="preserve">l de las perlas IPB </t>
    </r>
    <r>
      <rPr>
        <b/>
        <sz val="8"/>
        <color theme="1"/>
        <rFont val="Arial"/>
        <family val="2"/>
      </rPr>
      <t>diluidas</t>
    </r>
    <r>
      <rPr>
        <sz val="8"/>
        <color theme="1"/>
        <rFont val="Arial"/>
        <family val="2"/>
      </rPr>
      <t xml:space="preserve"> a cada pocillo</t>
    </r>
  </si>
  <si>
    <r>
      <t>Mezcle por pipeteo suavemente mínimo 10 veces (mezclar completamente es un paso crítico</t>
    </r>
    <r>
      <rPr>
        <sz val="8"/>
        <color theme="1"/>
        <rFont val="Calibri"/>
        <family val="2"/>
      </rPr>
      <t>)</t>
    </r>
  </si>
  <si>
    <t>Incube a temperatura ambiente por 5 minutos</t>
  </si>
  <si>
    <t>Con las muestras todavía en el magneto, transfiera (con pipeta monocanal) 125 µl del sobrenadante a tiras de PCR nuevas</t>
  </si>
  <si>
    <r>
      <t xml:space="preserve">Mezcle las perlas IPB </t>
    </r>
    <r>
      <rPr>
        <b/>
        <sz val="8"/>
        <color theme="1"/>
        <rFont val="Arial"/>
        <family val="2"/>
      </rPr>
      <t>(sin diluir)</t>
    </r>
    <r>
      <rPr>
        <sz val="8"/>
        <color theme="1"/>
        <rFont val="Arial"/>
        <family val="2"/>
      </rPr>
      <t xml:space="preserve"> con el vórtex hasta que estén bien resuspendidas (mezcle luego de agregarlo a 4 muetras consecutivas)</t>
    </r>
  </si>
  <si>
    <r>
      <t xml:space="preserve">Agregue 15 µl de IPB </t>
    </r>
    <r>
      <rPr>
        <b/>
        <sz val="8"/>
        <color theme="1"/>
        <rFont val="Arial"/>
        <family val="2"/>
      </rPr>
      <t>(sin diluir)</t>
    </r>
    <r>
      <rPr>
        <sz val="8"/>
        <color theme="1"/>
        <rFont val="Arial"/>
        <family val="2"/>
      </rPr>
      <t xml:space="preserve"> a cada pocillo con sobrenadante</t>
    </r>
  </si>
  <si>
    <r>
      <t>Diluya EtOH al 80% fresco (ejemplo, para 1 muestra, 0,4 ml EtOH + 0,1 ml H</t>
    </r>
    <r>
      <rPr>
        <vertAlign val="subscript"/>
        <sz val="8"/>
        <color theme="1"/>
        <rFont val="Arial"/>
        <family val="2"/>
      </rPr>
      <t>2</t>
    </r>
    <r>
      <rPr>
        <sz val="8"/>
        <color theme="1"/>
        <rFont val="Arial"/>
        <family val="2"/>
      </rPr>
      <t>O)</t>
    </r>
  </si>
  <si>
    <t>Volumen (ml)</t>
  </si>
  <si>
    <t># Muestras (exactas)</t>
  </si>
  <si>
    <t>EtOH puro</t>
  </si>
  <si>
    <t>Agregue 170 µl de EtOH 80% e incube por 30 segundos</t>
  </si>
  <si>
    <t>Remueva y descarte el EtOH (utilice micropipeta multicanal)</t>
  </si>
  <si>
    <t>Permita que las perlas se sequen de 3 a 4 minutos y durante ese tiempo remueva el exceso de EtOH con una pipeta monocanal de 10 µl</t>
  </si>
  <si>
    <t>Remueva las muestras del magneto y agregue 32 µl de RSB (puede dispensar el RSB en tira(s) de PCR para agregarlo con multicanal)</t>
  </si>
  <si>
    <t>Transfiera 30 µl del sobrenadante a tiras de PCR nuevas</t>
  </si>
  <si>
    <t>Cuantifique cada muestra con el fluorometro y registre el dato en la hoja de trabajo</t>
  </si>
  <si>
    <t>Determine en el QIAxcel el tamaño de cada biblioteca (5 µl de muestra a 6 µl de buffer de dilución QX)</t>
  </si>
  <si>
    <t>Registre el dato en la hoja de trabajo y calcule el tamaño promedio de las bibliotecas</t>
  </si>
  <si>
    <t>Pool de bibliotecas</t>
  </si>
  <si>
    <t>Realice el pool en un tubo de 1,5 ml agregando el volumen necesario según la concentración y el tamaño de cada biblioteca</t>
  </si>
  <si>
    <t>Mezcle por pipeteo suavemente</t>
  </si>
  <si>
    <t>Cuantifique con el fluorometro y registre el dato en la hoja de trabajo correspondiente</t>
  </si>
  <si>
    <t>*El protocolo puede detenerse aquí y almacenar las bibliotecas purificadas y/o el pool de (-25 a -15) °C hasta por 30 días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</si>
</sst>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>
    <font>
      <sz val="11"/>
      <color theme="1"/>
      <name val="Calibri"/>
      <family val="2"/>
      <scheme val="minor"/>
    </font>
    <font>
      <sz val="8"/>
      <color theme="1"/>
      <name val="Arial"/>
      <family val="2"/>
    </font>
    <font>
      <sz val="8"/>
      <color theme="1"/>
      <name val="Calibri"/>
      <family val="2"/>
      <scheme val="minor"/>
    </font>
    <font>
      <sz val="8"/>
      <color theme="1"/>
      <name val="Calibri"/>
      <family val="2"/>
    </font>
    <font>
      <b/>
      <sz val="8"/>
      <color theme="1"/>
      <name val="Arial"/>
      <family val="2"/>
    </font>
    <font>
      <b/>
      <sz val="8"/>
      <color theme="1"/>
      <name val="Calibri"/>
      <family val="2"/>
    </font>
    <font>
      <vertAlign val="subscript"/>
      <sz val="8"/>
      <color theme="1"/>
      <name val="Arial"/>
      <family val="2"/>
    </font>
    <font>
      <b/>
      <vertAlign val="subscript"/>
      <sz val="8"/>
      <color theme="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4" tint="0.59999389629810485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6">
    <xf numFmtId="0" fontId="0" fillId="0" borderId="0" xfId="0"/>
    <xf numFmtId="0" fontId="1" fillId="0" borderId="0" xfId="0" applyFont="1"/>
    <xf numFmtId="0" fontId="2" fillId="0" borderId="0" xfId="0" applyFont="1"/>
    <xf numFmtId="0" fontId="1" fillId="0" borderId="12" xfId="0" applyFont="1" applyBorder="1"/>
    <xf numFmtId="0" fontId="4" fillId="0" borderId="0" xfId="0" applyFont="1" applyAlignment="1">
      <alignment vertical="center"/>
    </xf>
    <xf numFmtId="0" fontId="1" fillId="0" borderId="0" xfId="0" applyFont="1" applyAlignment="1">
      <alignment vertical="center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right"/>
    </xf>
    <xf numFmtId="0" fontId="4" fillId="3" borderId="0" xfId="0" applyFont="1" applyFill="1" applyAlignment="1">
      <alignment horizontal="center"/>
    </xf>
    <xf numFmtId="0" fontId="1" fillId="2" borderId="0" xfId="0" applyFont="1" applyFill="1"/>
    <xf numFmtId="0" fontId="4" fillId="0" borderId="0" xfId="0" applyFont="1" applyAlignment="1">
      <alignment horizontal="right"/>
    </xf>
    <xf numFmtId="0" fontId="4" fillId="0" borderId="0" xfId="0" applyFont="1" applyAlignment="1">
      <alignment horizontal="center"/>
    </xf>
    <xf numFmtId="0" fontId="1" fillId="0" borderId="0" xfId="0" applyFont="1" applyAlignment="1">
      <alignment horizontal="left"/>
    </xf>
    <xf numFmtId="0" fontId="4" fillId="0" borderId="0" xfId="0" applyFont="1" applyAlignment="1">
      <alignment horizontal="left"/>
    </xf>
    <xf numFmtId="0" fontId="1" fillId="0" borderId="3" xfId="0" applyFont="1" applyBorder="1" applyAlignment="1">
      <alignment horizontal="left"/>
    </xf>
    <xf numFmtId="0" fontId="1" fillId="0" borderId="1" xfId="0" applyFont="1" applyBorder="1" applyAlignment="1">
      <alignment horizontal="center"/>
    </xf>
    <xf numFmtId="0" fontId="1" fillId="0" borderId="7" xfId="0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1" fillId="0" borderId="0" xfId="0" applyFont="1" applyAlignment="1">
      <alignment horizontal="center"/>
    </xf>
    <xf numFmtId="0" fontId="1" fillId="0" borderId="4" xfId="0" applyFont="1" applyBorder="1" applyAlignment="1">
      <alignment horizontal="center"/>
    </xf>
    <xf numFmtId="0" fontId="1" fillId="0" borderId="5" xfId="0" applyFont="1" applyBorder="1" applyAlignment="1">
      <alignment horizontal="center"/>
    </xf>
    <xf numFmtId="0" fontId="1" fillId="0" borderId="8" xfId="0" applyFont="1" applyBorder="1" applyAlignment="1">
      <alignment horizontal="center"/>
    </xf>
    <xf numFmtId="0" fontId="1" fillId="0" borderId="6" xfId="0" applyFont="1" applyBorder="1" applyAlignment="1">
      <alignment horizontal="center"/>
    </xf>
    <xf numFmtId="0" fontId="4" fillId="0" borderId="1" xfId="0" applyFont="1" applyBorder="1" applyAlignment="1">
      <alignment horizontal="center" vertical="center" wrapText="1"/>
    </xf>
    <xf numFmtId="0" fontId="4" fillId="0" borderId="7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4" fillId="0" borderId="8" xfId="0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1" fillId="0" borderId="11" xfId="0" applyFont="1" applyBorder="1" applyAlignment="1">
      <alignment horizontal="center" vertical="center"/>
    </xf>
    <xf numFmtId="0" fontId="1" fillId="0" borderId="9" xfId="0" applyFont="1" applyBorder="1" applyAlignment="1">
      <alignment horizontal="center" vertical="center"/>
    </xf>
    <xf numFmtId="0" fontId="1" fillId="0" borderId="10" xfId="0" applyFont="1" applyBorder="1" applyAlignment="1">
      <alignment horizontal="center" vertical="center"/>
    </xf>
    <xf numFmtId="0" fontId="1" fillId="0" borderId="11" xfId="0" applyFont="1" applyBorder="1" applyAlignment="1">
      <alignment horizontal="left" vertical="center"/>
    </xf>
    <xf numFmtId="0" fontId="1" fillId="0" borderId="9" xfId="0" applyFont="1" applyBorder="1" applyAlignment="1">
      <alignment horizontal="left" vertical="center"/>
    </xf>
    <xf numFmtId="0" fontId="1" fillId="0" borderId="10" xfId="0" applyFont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142875</xdr:colOff>
      <xdr:row>0</xdr:row>
      <xdr:rowOff>9525</xdr:rowOff>
    </xdr:from>
    <xdr:to>
      <xdr:col>3</xdr:col>
      <xdr:colOff>534498</xdr:colOff>
      <xdr:row>2</xdr:row>
      <xdr:rowOff>114300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806E16AE-4ABE-4FFE-A8A2-24367523CE3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b="9840"/>
        <a:stretch>
          <a:fillRect/>
        </a:stretch>
      </xdr:blipFill>
      <xdr:spPr bwMode="auto">
        <a:xfrm>
          <a:off x="142875" y="9525"/>
          <a:ext cx="1534623" cy="485775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476356-A5C2-4509-A5A7-B15748D4D0EF}">
  <dimension ref="A1:L112"/>
  <sheetViews>
    <sheetView tabSelected="1" view="pageLayout" zoomScaleNormal="100" workbookViewId="0">
      <selection activeCell="J88" sqref="J88"/>
    </sheetView>
  </sheetViews>
  <sheetFormatPr defaultColWidth="11.42578125" defaultRowHeight="10.5"/>
  <cols>
    <col min="1" max="2" width="2.85546875" style="1" customWidth="1"/>
    <col min="3" max="16384" width="11.42578125" style="1"/>
  </cols>
  <sheetData>
    <row r="1" spans="1:12" ht="15" customHeight="1">
      <c r="A1" s="15"/>
      <c r="B1" s="16"/>
      <c r="C1" s="16"/>
      <c r="D1" s="17"/>
      <c r="E1" s="24" t="s">
        <v>0</v>
      </c>
      <c r="F1" s="25"/>
      <c r="G1" s="25"/>
      <c r="H1" s="25"/>
      <c r="I1" s="25"/>
      <c r="J1" s="26"/>
      <c r="K1" s="4"/>
    </row>
    <row r="2" spans="1:12" ht="15" customHeight="1">
      <c r="A2" s="18"/>
      <c r="B2" s="19"/>
      <c r="C2" s="19"/>
      <c r="D2" s="20"/>
      <c r="E2" s="27"/>
      <c r="F2" s="28"/>
      <c r="G2" s="28"/>
      <c r="H2" s="28"/>
      <c r="I2" s="28"/>
      <c r="J2" s="29"/>
    </row>
    <row r="3" spans="1:12" ht="15" customHeight="1">
      <c r="A3" s="21"/>
      <c r="B3" s="22"/>
      <c r="C3" s="22"/>
      <c r="D3" s="23"/>
      <c r="E3" s="30" t="s">
        <v>1</v>
      </c>
      <c r="F3" s="31"/>
      <c r="G3" s="32"/>
      <c r="H3" s="33" t="s">
        <v>2</v>
      </c>
      <c r="I3" s="34"/>
      <c r="J3" s="35"/>
      <c r="K3" s="5"/>
      <c r="L3" s="5"/>
    </row>
    <row r="5" spans="1:12">
      <c r="C5" s="13" t="s">
        <v>3</v>
      </c>
      <c r="D5" s="13"/>
      <c r="E5" s="13"/>
      <c r="F5" s="13"/>
      <c r="G5" s="13"/>
      <c r="H5" s="13"/>
      <c r="I5" s="13"/>
      <c r="J5" s="13"/>
    </row>
    <row r="6" spans="1:12">
      <c r="A6" s="1">
        <v>1</v>
      </c>
      <c r="B6" s="3"/>
      <c r="C6" s="14" t="s">
        <v>4</v>
      </c>
      <c r="D6" s="12"/>
      <c r="E6" s="12"/>
      <c r="F6" s="12"/>
      <c r="G6" s="12"/>
      <c r="H6" s="12"/>
      <c r="I6" s="12"/>
      <c r="J6" s="12"/>
    </row>
    <row r="7" spans="1:12">
      <c r="A7" s="1">
        <v>2</v>
      </c>
      <c r="B7" s="3"/>
      <c r="C7" s="14" t="s">
        <v>5</v>
      </c>
      <c r="D7" s="12"/>
      <c r="E7" s="12"/>
      <c r="F7" s="12"/>
      <c r="G7" s="12"/>
      <c r="H7" s="12"/>
      <c r="I7" s="12"/>
      <c r="J7" s="12"/>
    </row>
    <row r="8" spans="1:12">
      <c r="A8" s="1">
        <v>3</v>
      </c>
      <c r="B8" s="3"/>
      <c r="C8" s="14" t="s">
        <v>6</v>
      </c>
      <c r="D8" s="12"/>
      <c r="E8" s="12"/>
      <c r="F8" s="12"/>
      <c r="G8" s="12"/>
      <c r="H8" s="12"/>
      <c r="I8" s="12"/>
      <c r="J8" s="12"/>
    </row>
    <row r="9" spans="1:12">
      <c r="A9" s="1">
        <v>4</v>
      </c>
      <c r="B9" s="3"/>
      <c r="C9" s="14" t="s">
        <v>7</v>
      </c>
      <c r="D9" s="12"/>
      <c r="E9" s="12"/>
      <c r="F9" s="12"/>
      <c r="G9" s="12"/>
      <c r="H9" s="12"/>
      <c r="I9" s="12"/>
      <c r="J9" s="12"/>
    </row>
    <row r="10" spans="1:12" ht="11.25">
      <c r="A10" s="1">
        <v>5</v>
      </c>
      <c r="B10" s="3"/>
      <c r="C10" s="14" t="s">
        <v>8</v>
      </c>
      <c r="D10" s="12"/>
      <c r="E10" s="12"/>
      <c r="F10" s="12"/>
      <c r="G10" s="12"/>
      <c r="H10" s="12"/>
      <c r="I10" s="12"/>
      <c r="J10" s="12"/>
    </row>
    <row r="11" spans="1:12" ht="11.25">
      <c r="C11" s="6"/>
      <c r="D11" s="6"/>
      <c r="E11" s="6"/>
      <c r="F11" s="6"/>
      <c r="G11" s="6"/>
      <c r="H11" s="6"/>
      <c r="I11" s="6"/>
      <c r="J11" s="8" t="s">
        <v>9</v>
      </c>
    </row>
    <row r="12" spans="1:12" ht="11.25" customHeight="1">
      <c r="I12" s="10" t="s">
        <v>10</v>
      </c>
      <c r="J12" s="9"/>
    </row>
    <row r="13" spans="1:12" ht="11.25" customHeight="1">
      <c r="C13" s="2"/>
      <c r="I13" s="10" t="s">
        <v>11</v>
      </c>
      <c r="J13" s="1">
        <f>10*J12</f>
        <v>0</v>
      </c>
    </row>
    <row r="14" spans="1:12" ht="11.25" customHeight="1">
      <c r="I14" s="10" t="s">
        <v>12</v>
      </c>
      <c r="J14" s="9">
        <f>10*J12</f>
        <v>0</v>
      </c>
    </row>
    <row r="16" spans="1:12" ht="13.5">
      <c r="A16" s="1">
        <v>6</v>
      </c>
      <c r="B16" s="3"/>
      <c r="C16" s="14" t="s">
        <v>13</v>
      </c>
      <c r="D16" s="12"/>
      <c r="E16" s="12"/>
      <c r="F16" s="12"/>
      <c r="G16" s="12"/>
      <c r="H16" s="12"/>
      <c r="I16" s="12"/>
      <c r="J16" s="12"/>
    </row>
    <row r="17" spans="1:10">
      <c r="A17" s="1">
        <v>7</v>
      </c>
      <c r="B17" s="3"/>
      <c r="C17" s="14" t="s">
        <v>14</v>
      </c>
      <c r="D17" s="12"/>
      <c r="E17" s="12"/>
      <c r="F17" s="12"/>
      <c r="G17" s="12"/>
      <c r="H17" s="12"/>
      <c r="I17" s="12"/>
      <c r="J17" s="12"/>
    </row>
    <row r="18" spans="1:10">
      <c r="A18" s="1">
        <v>8</v>
      </c>
      <c r="B18" s="3"/>
      <c r="C18" s="14" t="s">
        <v>15</v>
      </c>
      <c r="D18" s="12"/>
      <c r="E18" s="12"/>
      <c r="F18" s="12"/>
      <c r="G18" s="12"/>
      <c r="H18" s="12"/>
      <c r="I18" s="12"/>
      <c r="J18" s="12"/>
    </row>
    <row r="19" spans="1:10" ht="11.25">
      <c r="A19" s="1">
        <v>9</v>
      </c>
      <c r="B19" s="3"/>
      <c r="C19" s="14" t="s">
        <v>16</v>
      </c>
      <c r="D19" s="12"/>
      <c r="E19" s="12"/>
      <c r="F19" s="12"/>
      <c r="G19" s="12"/>
      <c r="H19" s="12"/>
      <c r="I19" s="12"/>
      <c r="J19" s="12"/>
    </row>
    <row r="20" spans="1:10" ht="11.25">
      <c r="A20" s="1">
        <v>10</v>
      </c>
      <c r="B20" s="3"/>
      <c r="C20" s="14" t="s">
        <v>17</v>
      </c>
      <c r="D20" s="12"/>
      <c r="E20" s="12"/>
      <c r="F20" s="12"/>
      <c r="G20" s="12"/>
      <c r="H20" s="12"/>
      <c r="I20" s="12"/>
      <c r="J20" s="12"/>
    </row>
    <row r="21" spans="1:10">
      <c r="A21" s="1">
        <v>11</v>
      </c>
      <c r="B21" s="3"/>
      <c r="C21" s="14" t="s">
        <v>18</v>
      </c>
      <c r="D21" s="12"/>
      <c r="E21" s="12"/>
      <c r="F21" s="12"/>
      <c r="G21" s="12"/>
      <c r="H21" s="12"/>
      <c r="I21" s="12"/>
      <c r="J21" s="12"/>
    </row>
    <row r="22" spans="1:10" ht="11.25">
      <c r="A22" s="1">
        <v>12</v>
      </c>
      <c r="B22" s="3"/>
      <c r="C22" s="14" t="s">
        <v>19</v>
      </c>
      <c r="D22" s="12"/>
      <c r="E22" s="12"/>
      <c r="F22" s="12"/>
      <c r="G22" s="12"/>
      <c r="H22" s="12"/>
      <c r="I22" s="12"/>
      <c r="J22" s="12"/>
    </row>
    <row r="24" spans="1:10">
      <c r="C24" s="13" t="s">
        <v>20</v>
      </c>
      <c r="D24" s="13"/>
      <c r="E24" s="13"/>
      <c r="F24" s="13"/>
      <c r="G24" s="13"/>
      <c r="H24" s="13"/>
      <c r="I24" s="13"/>
      <c r="J24" s="13"/>
    </row>
    <row r="25" spans="1:10">
      <c r="A25" s="1">
        <v>13</v>
      </c>
      <c r="B25" s="3"/>
      <c r="C25" s="14" t="s">
        <v>21</v>
      </c>
      <c r="D25" s="12"/>
      <c r="E25" s="12"/>
      <c r="F25" s="12"/>
      <c r="G25" s="12"/>
      <c r="H25" s="12"/>
      <c r="I25" s="12"/>
      <c r="J25" s="12"/>
    </row>
    <row r="26" spans="1:10">
      <c r="A26" s="1">
        <v>14</v>
      </c>
      <c r="B26" s="3"/>
      <c r="C26" s="14" t="s">
        <v>22</v>
      </c>
      <c r="D26" s="12"/>
      <c r="E26" s="12"/>
      <c r="F26" s="12"/>
      <c r="G26" s="12"/>
      <c r="H26" s="12"/>
      <c r="I26" s="12"/>
      <c r="J26" s="12"/>
    </row>
    <row r="27" spans="1:10">
      <c r="A27" s="1">
        <v>15</v>
      </c>
      <c r="B27" s="3"/>
      <c r="C27" s="14" t="s">
        <v>23</v>
      </c>
      <c r="D27" s="12"/>
      <c r="E27" s="12"/>
      <c r="F27" s="12"/>
      <c r="G27" s="12"/>
      <c r="H27" s="12"/>
      <c r="I27" s="12"/>
      <c r="J27" s="12"/>
    </row>
    <row r="28" spans="1:10">
      <c r="A28" s="1">
        <v>16</v>
      </c>
      <c r="B28" s="3"/>
      <c r="C28" s="14" t="s">
        <v>24</v>
      </c>
      <c r="D28" s="12"/>
      <c r="E28" s="12"/>
      <c r="F28" s="12"/>
      <c r="G28" s="12"/>
      <c r="H28" s="12"/>
      <c r="I28" s="12"/>
      <c r="J28" s="12"/>
    </row>
    <row r="29" spans="1:10">
      <c r="A29" s="1">
        <v>17</v>
      </c>
      <c r="B29" s="3"/>
      <c r="C29" s="14" t="s">
        <v>25</v>
      </c>
      <c r="D29" s="12"/>
      <c r="E29" s="12"/>
      <c r="F29" s="12"/>
      <c r="G29" s="12"/>
      <c r="H29" s="12"/>
      <c r="I29" s="12"/>
      <c r="J29" s="12"/>
    </row>
    <row r="30" spans="1:10">
      <c r="A30" s="1">
        <v>18</v>
      </c>
      <c r="B30" s="3"/>
      <c r="C30" s="14" t="s">
        <v>26</v>
      </c>
      <c r="D30" s="12"/>
      <c r="E30" s="12"/>
      <c r="F30" s="12"/>
      <c r="G30" s="12"/>
      <c r="H30" s="12"/>
      <c r="I30" s="12"/>
      <c r="J30" s="12"/>
    </row>
    <row r="31" spans="1:10">
      <c r="A31" s="1">
        <v>19</v>
      </c>
      <c r="B31" s="3"/>
      <c r="C31" s="14" t="s">
        <v>27</v>
      </c>
      <c r="D31" s="12"/>
      <c r="E31" s="12"/>
      <c r="F31" s="12"/>
      <c r="G31" s="12"/>
      <c r="H31" s="12"/>
      <c r="I31" s="12"/>
      <c r="J31" s="12"/>
    </row>
    <row r="32" spans="1:10">
      <c r="A32" s="1">
        <v>20</v>
      </c>
      <c r="B32" s="3"/>
      <c r="C32" s="14" t="s">
        <v>28</v>
      </c>
      <c r="D32" s="12"/>
      <c r="E32" s="12"/>
      <c r="F32" s="12"/>
      <c r="G32" s="12"/>
      <c r="H32" s="12"/>
      <c r="I32" s="12"/>
      <c r="J32" s="12"/>
    </row>
    <row r="33" spans="1:10">
      <c r="A33" s="1">
        <v>21</v>
      </c>
      <c r="B33" s="3"/>
      <c r="C33" s="14" t="s">
        <v>26</v>
      </c>
      <c r="D33" s="12"/>
      <c r="E33" s="12"/>
      <c r="F33" s="12"/>
      <c r="G33" s="12"/>
      <c r="H33" s="12"/>
      <c r="I33" s="12"/>
      <c r="J33" s="12"/>
    </row>
    <row r="34" spans="1:10">
      <c r="A34" s="1">
        <v>22</v>
      </c>
      <c r="B34" s="3"/>
      <c r="C34" s="14" t="s">
        <v>27</v>
      </c>
      <c r="D34" s="12"/>
      <c r="E34" s="12"/>
      <c r="F34" s="12"/>
      <c r="G34" s="12"/>
      <c r="H34" s="12"/>
      <c r="I34" s="12"/>
      <c r="J34" s="12"/>
    </row>
    <row r="35" spans="1:10">
      <c r="A35" s="1">
        <v>23</v>
      </c>
      <c r="B35" s="3"/>
      <c r="C35" s="14" t="s">
        <v>28</v>
      </c>
      <c r="D35" s="12"/>
      <c r="E35" s="12"/>
      <c r="F35" s="12"/>
      <c r="G35" s="12"/>
      <c r="H35" s="12"/>
      <c r="I35" s="12"/>
      <c r="J35" s="12"/>
    </row>
    <row r="36" spans="1:10">
      <c r="A36" s="1">
        <v>24</v>
      </c>
      <c r="B36" s="3"/>
      <c r="C36" s="14" t="s">
        <v>26</v>
      </c>
      <c r="D36" s="12"/>
      <c r="E36" s="12"/>
      <c r="F36" s="12"/>
      <c r="G36" s="12"/>
      <c r="H36" s="12"/>
      <c r="I36" s="12"/>
      <c r="J36" s="12"/>
    </row>
    <row r="37" spans="1:10">
      <c r="A37" s="1">
        <v>25</v>
      </c>
      <c r="B37" s="3"/>
      <c r="C37" s="14" t="s">
        <v>27</v>
      </c>
      <c r="D37" s="12"/>
      <c r="E37" s="12"/>
      <c r="F37" s="12"/>
      <c r="G37" s="12"/>
      <c r="H37" s="12"/>
      <c r="I37" s="12"/>
      <c r="J37" s="12"/>
    </row>
    <row r="38" spans="1:10">
      <c r="A38" s="1">
        <v>26</v>
      </c>
      <c r="B38" s="3"/>
      <c r="C38" s="14" t="s">
        <v>28</v>
      </c>
      <c r="D38" s="12"/>
      <c r="E38" s="12"/>
      <c r="F38" s="12"/>
      <c r="G38" s="12"/>
      <c r="H38" s="12"/>
      <c r="I38" s="12"/>
      <c r="J38" s="12"/>
    </row>
    <row r="40" spans="1:10">
      <c r="C40" s="13" t="s">
        <v>29</v>
      </c>
      <c r="D40" s="13"/>
      <c r="E40" s="13"/>
      <c r="F40" s="13"/>
      <c r="G40" s="13"/>
      <c r="H40" s="13"/>
      <c r="I40" s="13"/>
      <c r="J40" s="13"/>
    </row>
    <row r="41" spans="1:10">
      <c r="A41" s="1">
        <v>27</v>
      </c>
      <c r="B41" s="3"/>
      <c r="C41" s="14" t="s">
        <v>30</v>
      </c>
      <c r="D41" s="12"/>
      <c r="E41" s="12"/>
      <c r="F41" s="12"/>
      <c r="G41" s="12"/>
      <c r="H41" s="12"/>
      <c r="I41" s="12"/>
      <c r="J41" s="12"/>
    </row>
    <row r="42" spans="1:10">
      <c r="A42" s="1">
        <v>28</v>
      </c>
      <c r="B42" s="3"/>
      <c r="C42" s="14" t="s">
        <v>31</v>
      </c>
      <c r="D42" s="12"/>
      <c r="E42" s="12"/>
      <c r="F42" s="12"/>
      <c r="G42" s="12"/>
      <c r="H42" s="12"/>
      <c r="I42" s="12"/>
      <c r="J42" s="12"/>
    </row>
    <row r="43" spans="1:10" ht="13.5">
      <c r="A43" s="1">
        <v>29</v>
      </c>
      <c r="B43" s="3"/>
      <c r="C43" s="14" t="s">
        <v>32</v>
      </c>
      <c r="D43" s="12"/>
      <c r="E43" s="12"/>
      <c r="F43" s="12"/>
      <c r="G43" s="12"/>
      <c r="H43" s="12"/>
      <c r="I43" s="12"/>
      <c r="J43" s="12"/>
    </row>
    <row r="44" spans="1:10" ht="11.25">
      <c r="C44" s="6"/>
      <c r="D44" s="6"/>
      <c r="E44" s="6"/>
      <c r="F44" s="6"/>
      <c r="G44" s="6"/>
      <c r="H44" s="6"/>
      <c r="I44" s="6"/>
      <c r="J44" s="8" t="s">
        <v>9</v>
      </c>
    </row>
    <row r="45" spans="1:10">
      <c r="I45" s="10" t="s">
        <v>10</v>
      </c>
      <c r="J45" s="9"/>
    </row>
    <row r="46" spans="1:10">
      <c r="I46" s="10" t="s">
        <v>33</v>
      </c>
      <c r="J46" s="1">
        <f>20*J45</f>
        <v>0</v>
      </c>
    </row>
    <row r="47" spans="1:10" ht="13.5">
      <c r="I47" s="10" t="s">
        <v>34</v>
      </c>
      <c r="J47" s="9">
        <f>20*J45</f>
        <v>0</v>
      </c>
    </row>
    <row r="48" spans="1:10">
      <c r="I48" s="7"/>
    </row>
    <row r="49" spans="1:10">
      <c r="A49" s="1">
        <v>30</v>
      </c>
      <c r="B49" s="3"/>
      <c r="C49" s="14" t="s">
        <v>35</v>
      </c>
      <c r="D49" s="12"/>
      <c r="E49" s="12"/>
      <c r="F49" s="12"/>
      <c r="G49" s="12"/>
      <c r="H49" s="12"/>
      <c r="I49" s="12"/>
      <c r="J49" s="12"/>
    </row>
    <row r="50" spans="1:10">
      <c r="A50" s="1">
        <v>31</v>
      </c>
      <c r="B50" s="3"/>
      <c r="C50" s="14" t="s">
        <v>36</v>
      </c>
      <c r="D50" s="12"/>
      <c r="E50" s="12"/>
      <c r="F50" s="12"/>
      <c r="G50" s="12"/>
      <c r="H50" s="12"/>
      <c r="I50" s="12"/>
      <c r="J50" s="12"/>
    </row>
    <row r="51" spans="1:10">
      <c r="A51" s="1">
        <v>32</v>
      </c>
      <c r="B51" s="3"/>
      <c r="C51" s="14" t="s">
        <v>37</v>
      </c>
      <c r="D51" s="12"/>
      <c r="E51" s="12"/>
      <c r="F51" s="12"/>
      <c r="G51" s="12"/>
      <c r="H51" s="12"/>
      <c r="I51" s="12"/>
      <c r="J51" s="12"/>
    </row>
    <row r="52" spans="1:10">
      <c r="A52" s="1">
        <v>33</v>
      </c>
      <c r="B52" s="3"/>
      <c r="C52" s="14" t="s">
        <v>38</v>
      </c>
      <c r="D52" s="12"/>
      <c r="E52" s="12"/>
      <c r="F52" s="12"/>
      <c r="G52" s="12"/>
      <c r="H52" s="12"/>
      <c r="I52" s="12"/>
      <c r="J52" s="12"/>
    </row>
    <row r="53" spans="1:10">
      <c r="A53" s="1">
        <v>34</v>
      </c>
      <c r="B53" s="3"/>
      <c r="C53" s="14" t="s">
        <v>39</v>
      </c>
      <c r="D53" s="12"/>
      <c r="E53" s="12"/>
      <c r="F53" s="12"/>
      <c r="G53" s="12"/>
      <c r="H53" s="12"/>
      <c r="I53" s="12"/>
      <c r="J53" s="12"/>
    </row>
    <row r="54" spans="1:10">
      <c r="A54" s="1">
        <v>35</v>
      </c>
      <c r="B54" s="3"/>
      <c r="C54" s="14" t="s">
        <v>40</v>
      </c>
      <c r="D54" s="12"/>
      <c r="E54" s="12"/>
      <c r="F54" s="12"/>
      <c r="G54" s="12"/>
      <c r="H54" s="12"/>
      <c r="I54" s="12"/>
      <c r="J54" s="12"/>
    </row>
    <row r="55" spans="1:10">
      <c r="A55" s="1">
        <v>36</v>
      </c>
      <c r="B55" s="3"/>
      <c r="C55" s="14" t="s">
        <v>41</v>
      </c>
      <c r="D55" s="12"/>
      <c r="E55" s="12"/>
      <c r="F55" s="12"/>
      <c r="G55" s="12"/>
      <c r="H55" s="12"/>
      <c r="I55" s="12"/>
      <c r="J55" s="12"/>
    </row>
    <row r="56" spans="1:10">
      <c r="A56" s="1">
        <v>37</v>
      </c>
      <c r="B56" s="3"/>
      <c r="C56" s="14" t="s">
        <v>42</v>
      </c>
      <c r="D56" s="12"/>
      <c r="E56" s="12"/>
      <c r="F56" s="12"/>
      <c r="G56" s="12"/>
      <c r="H56" s="12"/>
      <c r="I56" s="12"/>
      <c r="J56" s="12"/>
    </row>
    <row r="57" spans="1:10">
      <c r="A57" s="1">
        <v>38</v>
      </c>
      <c r="B57" s="3"/>
      <c r="C57" s="14" t="s">
        <v>43</v>
      </c>
      <c r="D57" s="12"/>
      <c r="E57" s="12"/>
      <c r="F57" s="12"/>
      <c r="G57" s="12"/>
      <c r="H57" s="12"/>
      <c r="I57" s="12"/>
      <c r="J57" s="12"/>
    </row>
    <row r="58" spans="1:10">
      <c r="A58" s="1">
        <v>39</v>
      </c>
      <c r="B58" s="3"/>
      <c r="C58" s="14" t="s">
        <v>44</v>
      </c>
      <c r="D58" s="12"/>
      <c r="E58" s="12"/>
      <c r="F58" s="12"/>
      <c r="G58" s="12"/>
      <c r="H58" s="12"/>
      <c r="I58" s="12"/>
      <c r="J58" s="12"/>
    </row>
    <row r="60" spans="1:10">
      <c r="C60" s="11" t="s">
        <v>45</v>
      </c>
      <c r="D60" s="11"/>
      <c r="E60" s="11"/>
      <c r="F60" s="11"/>
      <c r="G60" s="11"/>
      <c r="H60" s="11"/>
      <c r="I60" s="11"/>
      <c r="J60" s="11"/>
    </row>
    <row r="62" spans="1:10">
      <c r="C62" s="13" t="s">
        <v>46</v>
      </c>
      <c r="D62" s="13"/>
      <c r="E62" s="13"/>
      <c r="F62" s="13"/>
      <c r="G62" s="13"/>
      <c r="H62" s="13"/>
      <c r="I62" s="13"/>
      <c r="J62" s="13"/>
    </row>
    <row r="63" spans="1:10">
      <c r="A63" s="1">
        <v>40</v>
      </c>
      <c r="B63" s="3"/>
      <c r="C63" s="12" t="s">
        <v>47</v>
      </c>
      <c r="D63" s="12"/>
      <c r="E63" s="12"/>
      <c r="F63" s="12"/>
      <c r="G63" s="12"/>
      <c r="H63" s="12"/>
      <c r="I63" s="12"/>
      <c r="J63" s="12"/>
    </row>
    <row r="64" spans="1:10">
      <c r="A64" s="1">
        <v>41</v>
      </c>
      <c r="B64" s="3"/>
      <c r="C64" s="12" t="s">
        <v>48</v>
      </c>
      <c r="D64" s="12"/>
      <c r="E64" s="12"/>
      <c r="F64" s="12"/>
      <c r="G64" s="12"/>
      <c r="H64" s="12"/>
      <c r="I64" s="12"/>
      <c r="J64" s="12"/>
    </row>
    <row r="65" spans="1:10">
      <c r="A65" s="1">
        <v>42</v>
      </c>
      <c r="B65" s="3"/>
      <c r="C65" s="12" t="s">
        <v>49</v>
      </c>
      <c r="D65" s="12"/>
      <c r="E65" s="12"/>
      <c r="F65" s="12"/>
      <c r="G65" s="12"/>
      <c r="H65" s="12"/>
      <c r="I65" s="12"/>
      <c r="J65" s="12"/>
    </row>
    <row r="66" spans="1:10">
      <c r="A66" s="1">
        <v>43</v>
      </c>
      <c r="B66" s="3"/>
      <c r="C66" s="12" t="s">
        <v>50</v>
      </c>
      <c r="D66" s="12"/>
      <c r="E66" s="12"/>
      <c r="F66" s="12"/>
      <c r="G66" s="12"/>
      <c r="H66" s="12"/>
      <c r="I66" s="12"/>
      <c r="J66" s="12"/>
    </row>
    <row r="67" spans="1:10">
      <c r="A67" s="1">
        <v>44</v>
      </c>
      <c r="B67" s="3"/>
      <c r="C67" s="12" t="s">
        <v>51</v>
      </c>
      <c r="D67" s="12"/>
      <c r="E67" s="12"/>
      <c r="F67" s="12"/>
      <c r="G67" s="12"/>
      <c r="H67" s="12"/>
      <c r="I67" s="12"/>
      <c r="J67" s="12"/>
    </row>
    <row r="68" spans="1:10">
      <c r="A68" s="1">
        <v>45</v>
      </c>
      <c r="B68" s="3"/>
      <c r="C68" s="12" t="s">
        <v>52</v>
      </c>
      <c r="D68" s="12"/>
      <c r="E68" s="12"/>
      <c r="F68" s="12"/>
      <c r="G68" s="12"/>
      <c r="H68" s="12"/>
      <c r="I68" s="12"/>
      <c r="J68" s="12"/>
    </row>
    <row r="69" spans="1:10" ht="13.5">
      <c r="A69" s="1">
        <v>46</v>
      </c>
      <c r="B69" s="3"/>
      <c r="C69" s="14" t="s">
        <v>53</v>
      </c>
      <c r="D69" s="12"/>
      <c r="E69" s="12"/>
      <c r="F69" s="12"/>
      <c r="G69" s="12"/>
      <c r="H69" s="12"/>
      <c r="I69" s="12"/>
      <c r="J69" s="12"/>
    </row>
    <row r="70" spans="1:10" ht="11.25">
      <c r="C70" s="6"/>
      <c r="D70" s="6"/>
      <c r="E70" s="6"/>
      <c r="F70" s="6"/>
      <c r="G70" s="6"/>
      <c r="J70" s="8" t="s">
        <v>9</v>
      </c>
    </row>
    <row r="71" spans="1:10">
      <c r="I71" s="10" t="s">
        <v>54</v>
      </c>
      <c r="J71" s="9"/>
    </row>
    <row r="72" spans="1:10">
      <c r="I72" s="10" t="s">
        <v>55</v>
      </c>
      <c r="J72" s="1">
        <f>40.8*J71</f>
        <v>0</v>
      </c>
    </row>
    <row r="73" spans="1:10" ht="13.5">
      <c r="I73" s="10" t="s">
        <v>34</v>
      </c>
      <c r="J73" s="9">
        <f>44.2*J71</f>
        <v>0</v>
      </c>
    </row>
    <row r="75" spans="1:10">
      <c r="A75" s="1">
        <v>47</v>
      </c>
      <c r="B75" s="3"/>
      <c r="C75" s="12" t="s">
        <v>56</v>
      </c>
      <c r="D75" s="12"/>
      <c r="E75" s="12"/>
      <c r="F75" s="12"/>
      <c r="G75" s="12"/>
      <c r="H75" s="12"/>
      <c r="I75" s="12"/>
      <c r="J75" s="12"/>
    </row>
    <row r="76" spans="1:10" ht="11.25">
      <c r="A76" s="1">
        <v>48</v>
      </c>
      <c r="B76" s="3"/>
      <c r="C76" s="12" t="s">
        <v>57</v>
      </c>
      <c r="D76" s="12"/>
      <c r="E76" s="12"/>
      <c r="F76" s="12"/>
      <c r="G76" s="12"/>
      <c r="H76" s="12"/>
      <c r="I76" s="12"/>
      <c r="J76" s="12"/>
    </row>
    <row r="77" spans="1:10" ht="11.25">
      <c r="A77" s="1">
        <v>49</v>
      </c>
      <c r="B77" s="3"/>
      <c r="C77" s="12" t="s">
        <v>58</v>
      </c>
      <c r="D77" s="12"/>
      <c r="E77" s="12"/>
      <c r="F77" s="12"/>
      <c r="G77" s="12"/>
      <c r="H77" s="12"/>
      <c r="I77" s="12"/>
      <c r="J77" s="12"/>
    </row>
    <row r="78" spans="1:10">
      <c r="A78" s="1">
        <v>50</v>
      </c>
      <c r="B78" s="3"/>
      <c r="C78" s="12" t="s">
        <v>59</v>
      </c>
      <c r="D78" s="12"/>
      <c r="E78" s="12"/>
      <c r="F78" s="12"/>
      <c r="G78" s="12"/>
      <c r="H78" s="12"/>
      <c r="I78" s="12"/>
      <c r="J78" s="12"/>
    </row>
    <row r="79" spans="1:10">
      <c r="A79" s="1">
        <v>51</v>
      </c>
      <c r="B79" s="3"/>
      <c r="C79" s="12" t="s">
        <v>25</v>
      </c>
      <c r="D79" s="12"/>
      <c r="E79" s="12"/>
      <c r="F79" s="12"/>
      <c r="G79" s="12"/>
      <c r="H79" s="12"/>
      <c r="I79" s="12"/>
      <c r="J79" s="12"/>
    </row>
    <row r="80" spans="1:10">
      <c r="A80" s="1">
        <v>52</v>
      </c>
      <c r="B80" s="3"/>
      <c r="C80" s="12" t="s">
        <v>60</v>
      </c>
      <c r="D80" s="12"/>
      <c r="E80" s="12"/>
      <c r="F80" s="12"/>
      <c r="G80" s="12"/>
      <c r="H80" s="12"/>
      <c r="I80" s="12"/>
      <c r="J80" s="12"/>
    </row>
    <row r="81" spans="1:10">
      <c r="A81" s="1">
        <v>53</v>
      </c>
      <c r="B81" s="3"/>
      <c r="C81" s="12" t="s">
        <v>61</v>
      </c>
      <c r="D81" s="12"/>
      <c r="E81" s="12"/>
      <c r="F81" s="12"/>
      <c r="G81" s="12"/>
      <c r="H81" s="12"/>
      <c r="I81" s="12"/>
      <c r="J81" s="12"/>
    </row>
    <row r="82" spans="1:10">
      <c r="A82" s="1">
        <v>54</v>
      </c>
      <c r="B82" s="3"/>
      <c r="C82" s="12" t="s">
        <v>62</v>
      </c>
      <c r="D82" s="12"/>
      <c r="E82" s="12"/>
      <c r="F82" s="12"/>
      <c r="G82" s="12"/>
      <c r="H82" s="12"/>
      <c r="I82" s="12"/>
      <c r="J82" s="12"/>
    </row>
    <row r="83" spans="1:10" ht="11.25">
      <c r="A83" s="1">
        <v>55</v>
      </c>
      <c r="B83" s="3"/>
      <c r="C83" s="12" t="s">
        <v>58</v>
      </c>
      <c r="D83" s="12"/>
      <c r="E83" s="12"/>
      <c r="F83" s="12"/>
      <c r="G83" s="12"/>
      <c r="H83" s="12"/>
      <c r="I83" s="12"/>
      <c r="J83" s="12"/>
    </row>
    <row r="84" spans="1:10">
      <c r="A84" s="1">
        <v>56</v>
      </c>
      <c r="B84" s="3"/>
      <c r="C84" s="12" t="s">
        <v>59</v>
      </c>
      <c r="D84" s="12"/>
      <c r="E84" s="12"/>
      <c r="F84" s="12"/>
      <c r="G84" s="12"/>
      <c r="H84" s="12"/>
      <c r="I84" s="12"/>
      <c r="J84" s="12"/>
    </row>
    <row r="85" spans="1:10">
      <c r="A85" s="1">
        <v>57</v>
      </c>
      <c r="B85" s="3"/>
      <c r="C85" s="12" t="s">
        <v>25</v>
      </c>
      <c r="D85" s="12"/>
      <c r="E85" s="12"/>
      <c r="F85" s="12"/>
      <c r="G85" s="12"/>
      <c r="H85" s="12"/>
      <c r="I85" s="12"/>
      <c r="J85" s="12"/>
    </row>
    <row r="86" spans="1:10" ht="13.5">
      <c r="A86" s="1">
        <v>58</v>
      </c>
      <c r="B86" s="3"/>
      <c r="C86" s="14" t="s">
        <v>63</v>
      </c>
      <c r="D86" s="12"/>
      <c r="E86" s="12"/>
      <c r="F86" s="12"/>
      <c r="G86" s="12"/>
      <c r="H86" s="12"/>
      <c r="I86" s="12"/>
      <c r="J86" s="12"/>
    </row>
    <row r="87" spans="1:10">
      <c r="C87" s="6"/>
      <c r="D87" s="6"/>
      <c r="E87" s="6"/>
      <c r="F87" s="6"/>
      <c r="G87" s="6"/>
      <c r="J87" s="8" t="s">
        <v>64</v>
      </c>
    </row>
    <row r="88" spans="1:10">
      <c r="I88" s="10" t="s">
        <v>65</v>
      </c>
      <c r="J88" s="9"/>
    </row>
    <row r="89" spans="1:10">
      <c r="I89" s="10" t="s">
        <v>66</v>
      </c>
      <c r="J89" s="1">
        <f>0.4*J88</f>
        <v>0</v>
      </c>
    </row>
    <row r="90" spans="1:10" ht="13.5">
      <c r="I90" s="10" t="s">
        <v>34</v>
      </c>
      <c r="J90" s="9">
        <f>0.1*J88</f>
        <v>0</v>
      </c>
    </row>
    <row r="92" spans="1:10">
      <c r="A92" s="1">
        <v>59</v>
      </c>
      <c r="B92" s="3"/>
      <c r="C92" s="12" t="s">
        <v>26</v>
      </c>
      <c r="D92" s="12"/>
      <c r="E92" s="12"/>
      <c r="F92" s="12"/>
      <c r="G92" s="12"/>
      <c r="H92" s="12"/>
      <c r="I92" s="12"/>
      <c r="J92" s="12"/>
    </row>
    <row r="93" spans="1:10">
      <c r="A93" s="1">
        <v>60</v>
      </c>
      <c r="B93" s="3"/>
      <c r="C93" s="12" t="s">
        <v>67</v>
      </c>
      <c r="D93" s="12"/>
      <c r="E93" s="12"/>
      <c r="F93" s="12"/>
      <c r="G93" s="12"/>
      <c r="H93" s="12"/>
      <c r="I93" s="12"/>
      <c r="J93" s="12"/>
    </row>
    <row r="94" spans="1:10">
      <c r="A94" s="1">
        <v>61</v>
      </c>
      <c r="B94" s="3"/>
      <c r="C94" s="12" t="s">
        <v>68</v>
      </c>
      <c r="D94" s="12"/>
      <c r="E94" s="12"/>
      <c r="F94" s="12"/>
      <c r="G94" s="12"/>
      <c r="H94" s="12"/>
      <c r="I94" s="12"/>
      <c r="J94" s="12"/>
    </row>
    <row r="95" spans="1:10">
      <c r="A95" s="1">
        <v>62</v>
      </c>
      <c r="B95" s="3"/>
      <c r="C95" s="12" t="s">
        <v>67</v>
      </c>
      <c r="D95" s="12"/>
      <c r="E95" s="12"/>
      <c r="F95" s="12"/>
      <c r="G95" s="12"/>
      <c r="H95" s="12"/>
      <c r="I95" s="12"/>
      <c r="J95" s="12"/>
    </row>
    <row r="96" spans="1:10">
      <c r="A96" s="1">
        <v>63</v>
      </c>
      <c r="B96" s="3"/>
      <c r="C96" s="12" t="s">
        <v>68</v>
      </c>
      <c r="D96" s="12"/>
      <c r="E96" s="12"/>
      <c r="F96" s="12"/>
      <c r="G96" s="12"/>
      <c r="H96" s="12"/>
      <c r="I96" s="12"/>
      <c r="J96" s="12"/>
    </row>
    <row r="97" spans="1:10">
      <c r="A97" s="1">
        <v>64</v>
      </c>
      <c r="B97" s="3"/>
      <c r="C97" s="12" t="s">
        <v>69</v>
      </c>
      <c r="D97" s="12"/>
      <c r="E97" s="12"/>
      <c r="F97" s="12"/>
      <c r="G97" s="12"/>
      <c r="H97" s="12"/>
      <c r="I97" s="12"/>
      <c r="J97" s="12"/>
    </row>
    <row r="98" spans="1:10">
      <c r="A98" s="1">
        <v>65</v>
      </c>
      <c r="B98" s="3"/>
      <c r="C98" s="12" t="s">
        <v>70</v>
      </c>
      <c r="D98" s="12"/>
      <c r="E98" s="12"/>
      <c r="F98" s="12"/>
      <c r="G98" s="12"/>
      <c r="H98" s="12"/>
      <c r="I98" s="12"/>
      <c r="J98" s="12"/>
    </row>
    <row r="99" spans="1:10">
      <c r="A99" s="1">
        <v>66</v>
      </c>
      <c r="B99" s="3"/>
      <c r="C99" s="12" t="s">
        <v>39</v>
      </c>
      <c r="D99" s="12"/>
      <c r="E99" s="12"/>
      <c r="F99" s="12"/>
      <c r="G99" s="12"/>
      <c r="H99" s="12"/>
      <c r="I99" s="12"/>
      <c r="J99" s="12"/>
    </row>
    <row r="100" spans="1:10">
      <c r="A100" s="1">
        <v>67</v>
      </c>
      <c r="B100" s="3"/>
      <c r="C100" s="12" t="s">
        <v>59</v>
      </c>
      <c r="D100" s="12"/>
      <c r="E100" s="12"/>
      <c r="F100" s="12"/>
      <c r="G100" s="12"/>
      <c r="H100" s="12"/>
      <c r="I100" s="12"/>
      <c r="J100" s="12"/>
    </row>
    <row r="101" spans="1:10">
      <c r="A101" s="1">
        <v>68</v>
      </c>
      <c r="B101" s="3"/>
      <c r="C101" s="12" t="s">
        <v>25</v>
      </c>
      <c r="D101" s="12"/>
      <c r="E101" s="12"/>
      <c r="F101" s="12"/>
      <c r="G101" s="12"/>
      <c r="H101" s="12"/>
      <c r="I101" s="12"/>
      <c r="J101" s="12"/>
    </row>
    <row r="102" spans="1:10">
      <c r="A102" s="1">
        <v>69</v>
      </c>
      <c r="B102" s="3"/>
      <c r="C102" s="12" t="s">
        <v>71</v>
      </c>
      <c r="D102" s="12"/>
      <c r="E102" s="12"/>
      <c r="F102" s="12"/>
      <c r="G102" s="12"/>
      <c r="H102" s="12"/>
      <c r="I102" s="12"/>
      <c r="J102" s="12"/>
    </row>
    <row r="103" spans="1:10">
      <c r="A103" s="1">
        <v>70</v>
      </c>
      <c r="B103" s="3"/>
      <c r="C103" s="12" t="s">
        <v>72</v>
      </c>
      <c r="D103" s="12"/>
      <c r="E103" s="12"/>
      <c r="F103" s="12"/>
      <c r="G103" s="12"/>
      <c r="H103" s="12"/>
      <c r="I103" s="12"/>
      <c r="J103" s="12"/>
    </row>
    <row r="104" spans="1:10">
      <c r="A104" s="1">
        <v>71</v>
      </c>
      <c r="B104" s="3"/>
      <c r="C104" s="12" t="s">
        <v>73</v>
      </c>
      <c r="D104" s="12"/>
      <c r="E104" s="12"/>
      <c r="F104" s="12"/>
      <c r="G104" s="12"/>
      <c r="H104" s="12"/>
      <c r="I104" s="12"/>
      <c r="J104" s="12"/>
    </row>
    <row r="105" spans="1:10">
      <c r="A105" s="1">
        <v>72</v>
      </c>
      <c r="B105" s="3"/>
      <c r="C105" s="12" t="s">
        <v>74</v>
      </c>
      <c r="D105" s="12"/>
      <c r="E105" s="12"/>
      <c r="F105" s="12"/>
      <c r="G105" s="12"/>
      <c r="H105" s="12"/>
      <c r="I105" s="12"/>
      <c r="J105" s="12"/>
    </row>
    <row r="107" spans="1:10">
      <c r="C107" s="13" t="s">
        <v>75</v>
      </c>
      <c r="D107" s="13"/>
      <c r="E107" s="13"/>
      <c r="F107" s="13"/>
      <c r="G107" s="13"/>
      <c r="H107" s="13"/>
      <c r="I107" s="13"/>
      <c r="J107" s="13"/>
    </row>
    <row r="108" spans="1:10">
      <c r="A108" s="1">
        <v>73</v>
      </c>
      <c r="B108" s="3"/>
      <c r="C108" s="12" t="s">
        <v>76</v>
      </c>
      <c r="D108" s="12"/>
      <c r="E108" s="12"/>
      <c r="F108" s="12"/>
      <c r="G108" s="12"/>
      <c r="H108" s="12"/>
      <c r="I108" s="12"/>
      <c r="J108" s="12"/>
    </row>
    <row r="109" spans="1:10">
      <c r="A109" s="1">
        <v>74</v>
      </c>
      <c r="B109" s="3"/>
      <c r="C109" s="12" t="s">
        <v>77</v>
      </c>
      <c r="D109" s="12"/>
      <c r="E109" s="12"/>
      <c r="F109" s="12"/>
      <c r="G109" s="12"/>
      <c r="H109" s="12"/>
      <c r="I109" s="12"/>
      <c r="J109" s="12"/>
    </row>
    <row r="110" spans="1:10">
      <c r="A110" s="1">
        <v>75</v>
      </c>
      <c r="B110" s="3"/>
      <c r="C110" s="12" t="s">
        <v>78</v>
      </c>
      <c r="D110" s="12"/>
      <c r="E110" s="12"/>
      <c r="F110" s="12"/>
      <c r="G110" s="12"/>
      <c r="H110" s="12"/>
      <c r="I110" s="12"/>
      <c r="J110" s="12"/>
    </row>
    <row r="112" spans="1:10">
      <c r="C112" s="11" t="s">
        <v>79</v>
      </c>
      <c r="D112" s="11"/>
      <c r="E112" s="11"/>
      <c r="F112" s="11"/>
      <c r="G112" s="11"/>
      <c r="H112" s="11"/>
      <c r="I112" s="11"/>
      <c r="J112" s="11"/>
    </row>
  </sheetData>
  <mergeCells count="86">
    <mergeCell ref="C62:J62"/>
    <mergeCell ref="C52:J52"/>
    <mergeCell ref="C53:J53"/>
    <mergeCell ref="A1:D3"/>
    <mergeCell ref="E1:J2"/>
    <mergeCell ref="E3:G3"/>
    <mergeCell ref="H3:J3"/>
    <mergeCell ref="C6:J6"/>
    <mergeCell ref="C5:J5"/>
    <mergeCell ref="C49:J49"/>
    <mergeCell ref="C50:J50"/>
    <mergeCell ref="C51:J51"/>
    <mergeCell ref="C7:J7"/>
    <mergeCell ref="C10:J10"/>
    <mergeCell ref="C16:J16"/>
    <mergeCell ref="C17:J17"/>
    <mergeCell ref="C18:J18"/>
    <mergeCell ref="C21:J21"/>
    <mergeCell ref="C8:J8"/>
    <mergeCell ref="C9:J9"/>
    <mergeCell ref="C19:J19"/>
    <mergeCell ref="C20:J20"/>
    <mergeCell ref="C22:J22"/>
    <mergeCell ref="C25:J25"/>
    <mergeCell ref="C26:J26"/>
    <mergeCell ref="C68:J68"/>
    <mergeCell ref="C58:J58"/>
    <mergeCell ref="C60:J60"/>
    <mergeCell ref="C40:J40"/>
    <mergeCell ref="C43:J43"/>
    <mergeCell ref="C63:J63"/>
    <mergeCell ref="C64:J64"/>
    <mergeCell ref="C65:J65"/>
    <mergeCell ref="C66:J66"/>
    <mergeCell ref="C67:J67"/>
    <mergeCell ref="C54:J54"/>
    <mergeCell ref="C55:J55"/>
    <mergeCell ref="C56:J56"/>
    <mergeCell ref="C57:J57"/>
    <mergeCell ref="C41:J41"/>
    <mergeCell ref="C42:J42"/>
    <mergeCell ref="C24:J24"/>
    <mergeCell ref="C38:J38"/>
    <mergeCell ref="C30:J30"/>
    <mergeCell ref="C31:J31"/>
    <mergeCell ref="C32:J32"/>
    <mergeCell ref="C33:J33"/>
    <mergeCell ref="C34:J34"/>
    <mergeCell ref="C35:J35"/>
    <mergeCell ref="C29:J29"/>
    <mergeCell ref="C36:J36"/>
    <mergeCell ref="C37:J37"/>
    <mergeCell ref="C27:J27"/>
    <mergeCell ref="C28:J28"/>
    <mergeCell ref="C84:J84"/>
    <mergeCell ref="C75:J75"/>
    <mergeCell ref="C76:J76"/>
    <mergeCell ref="C77:J77"/>
    <mergeCell ref="C78:J78"/>
    <mergeCell ref="C83:J83"/>
    <mergeCell ref="C69:J69"/>
    <mergeCell ref="C79:J79"/>
    <mergeCell ref="C80:J80"/>
    <mergeCell ref="C81:J81"/>
    <mergeCell ref="C82:J82"/>
    <mergeCell ref="C100:J100"/>
    <mergeCell ref="C85:J85"/>
    <mergeCell ref="C92:J92"/>
    <mergeCell ref="C94:J94"/>
    <mergeCell ref="C96:J96"/>
    <mergeCell ref="C86:J86"/>
    <mergeCell ref="C97:J97"/>
    <mergeCell ref="C93:J93"/>
    <mergeCell ref="C95:J95"/>
    <mergeCell ref="C98:J98"/>
    <mergeCell ref="C99:J99"/>
    <mergeCell ref="C112:J112"/>
    <mergeCell ref="C101:J101"/>
    <mergeCell ref="C102:J102"/>
    <mergeCell ref="C107:J107"/>
    <mergeCell ref="C103:J103"/>
    <mergeCell ref="C104:J104"/>
    <mergeCell ref="C105:J105"/>
    <mergeCell ref="C108:J108"/>
    <mergeCell ref="C109:J109"/>
    <mergeCell ref="C110:J110"/>
  </mergeCells>
  <printOptions horizontalCentered="1"/>
  <pageMargins left="0.43307086614173229" right="0.43307086614173229" top="0.82677165354330717" bottom="0.82677165354330717" header="0.31496062992125984" footer="0.31496062992125984"/>
  <pageSetup orientation="portrait" r:id="rId1"/>
  <headerFooter>
    <oddFooter>&amp;RPágina &amp;P de &amp;N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Adriana Godinez</dc:creator>
  <cp:keywords/>
  <dc:description/>
  <cp:lastModifiedBy/>
  <cp:revision/>
  <dcterms:created xsi:type="dcterms:W3CDTF">2024-04-08T12:38:15Z</dcterms:created>
  <dcterms:modified xsi:type="dcterms:W3CDTF">2026-03-18T13:16:41Z</dcterms:modified>
  <cp:category/>
  <cp:contentStatus/>
</cp:coreProperties>
</file>